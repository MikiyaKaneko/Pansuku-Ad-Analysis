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📈 コホートLTV" sheetId="2" state="visible" r:id="rId2"/>
    <sheet xmlns:r="http://schemas.openxmlformats.org/officeDocument/2006/relationships" name="📣 広告期間別分析" sheetId="3" state="visible" r:id="rId3"/>
    <sheet xmlns:r="http://schemas.openxmlformats.org/officeDocument/2006/relationships" name="👑 長期ユーザー分析" sheetId="4" state="visible" r:id="rId4"/>
    <sheet xmlns:r="http://schemas.openxmlformats.org/officeDocument/2006/relationships" name="🎯 登録経路別LTV" sheetId="5" state="visible" r:id="rId5"/>
    <sheet xmlns:r="http://schemas.openxmlformats.org/officeDocument/2006/relationships" name="🔄 継続率・離脱分析" sheetId="6" state="visible" r:id="rId6"/>
    <sheet xmlns:r="http://schemas.openxmlformats.org/officeDocument/2006/relationships" name="💰 LTV・CAC検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¥#,##0"/>
    <numFmt numFmtId="166" formatCode="0.00&quot;x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08080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808080"/>
      <sz val="8"/>
    </font>
    <font>
      <name val="Arial"/>
      <color rgb="00000000"/>
      <sz val="14"/>
    </font>
    <font>
      <name val="Arial"/>
      <color rgb="00000000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9C0006"/>
      <sz val="10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color rgb="00006600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AF2F8"/>
      </patternFill>
    </fill>
    <fill>
      <patternFill patternType="solid">
        <fgColor rgb="00FDE9D9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DFE6F5"/>
      </patternFill>
    </fill>
    <fill>
      <patternFill patternType="solid">
        <fgColor rgb="00F0E6F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F8F00"/>
      </patternFill>
    </fill>
    <fill>
      <patternFill patternType="solid">
        <fgColor rgb="00FFFDE7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10" fillId="11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165" fontId="10" fillId="17" borderId="1" applyAlignment="1" pivotButton="0" quotePrefix="0" xfId="0">
      <alignment horizontal="center" vertical="center" wrapText="1"/>
    </xf>
    <xf numFmtId="164" fontId="10" fillId="17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5" fontId="10" fillId="18" borderId="1" applyAlignment="1" pivotButton="0" quotePrefix="0" xfId="0">
      <alignment horizontal="center" vertical="center" wrapText="1"/>
    </xf>
    <xf numFmtId="164" fontId="10" fillId="18" borderId="1" applyAlignment="1" pivotButton="0" quotePrefix="0" xfId="0">
      <alignment horizontal="center" vertical="center" wrapText="1"/>
    </xf>
    <xf numFmtId="165" fontId="10" fillId="12" borderId="1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4" borderId="1" pivotButton="0" quotePrefix="0" xfId="0"/>
    <xf numFmtId="0" fontId="0" fillId="18" borderId="1" pivotButton="0" quotePrefix="0" xfId="0"/>
    <xf numFmtId="0" fontId="0" fillId="8" borderId="1" pivotButton="0" quotePrefix="0" xfId="0"/>
    <xf numFmtId="9" fontId="10" fillId="18" borderId="1" applyAlignment="1" pivotButton="0" quotePrefix="0" xfId="0">
      <alignment horizontal="center" vertical="center" wrapText="1"/>
    </xf>
    <xf numFmtId="9" fontId="10" fillId="8" borderId="1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center" vertical="center" wrapText="1"/>
    </xf>
    <xf numFmtId="9" fontId="10" fillId="1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164" fontId="12" fillId="12" borderId="1" applyAlignment="1" pivotButton="0" quotePrefix="0" xfId="0">
      <alignment horizontal="center" vertical="center" wrapText="1"/>
    </xf>
    <xf numFmtId="0" fontId="10" fillId="0" borderId="1" pivotButton="0" quotePrefix="0" xfId="0"/>
    <xf numFmtId="165" fontId="13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13" fillId="0" borderId="1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165" fontId="10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コホート別 実測LTV (¥)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'📈 コホートLTV'!$A$4:$A$33</f>
            </numRef>
          </cat>
          <val>
            <numRef>
              <f>'📈 コホートLTV'!$E$4:$E$33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登録月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LTV (¥)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月次登録者数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'📈 コホートLTV'!$A$4:$A$33</f>
            </numRef>
          </cat>
          <val>
            <numRef>
              <f>'📈 コホートLTV'!$B$4:$B$33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登録者数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広告期別 月平均登録者数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'📣 広告期間別分析'!D15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'📣 広告期間別分析'!$A$16:$A$21</f>
            </numRef>
          </cat>
          <val>
            <numRef>
              <f>'📣 広告期間別分析'!$D$16:$D$21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登録者数/月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35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 ht="40" customHeight="1">
      <c r="A1" s="1" t="inlineStr">
        <is>
          <t>パンスク定期便 ユーザー分析レポート  (データ期間: 2023年7月〜2026年2月)</t>
        </is>
      </c>
    </row>
    <row r="2">
      <c r="A2" s="2" t="inlineStr">
        <is>
          <t>作成日: 2026年3月</t>
        </is>
      </c>
    </row>
    <row r="3" ht="12" customHeight="1"/>
    <row r="4" ht="22" customHeight="1">
      <c r="A4" s="3" t="inlineStr">
        <is>
          <t>■ 主要KPI</t>
        </is>
      </c>
    </row>
    <row r="5" ht="40" customHeight="1">
      <c r="A5" s="4" t="inlineStr"/>
      <c r="B5" s="4" t="inlineStr">
        <is>
          <t>会員総数
(1回以上配送)</t>
        </is>
      </c>
      <c r="C5" s="4" t="inlineStr">
        <is>
          <t>現有料会員</t>
        </is>
      </c>
      <c r="D5" s="4" t="inlineStr">
        <is>
          <t>現有料会員率</t>
        </is>
      </c>
      <c r="E5" s="4" t="inlineStr">
        <is>
          <t>平均配送回数
(観測期間)</t>
        </is>
      </c>
      <c r="F5" s="4" t="inlineStr">
        <is>
          <t>実測コホートLTV
(粗利×配送数)</t>
        </is>
      </c>
      <c r="G5" s="4" t="inlineStr">
        <is>
          <t>理論LTV
(粗利÷churn)</t>
        </is>
      </c>
      <c r="H5" s="4" t="inlineStr">
        <is>
          <t>月次チャーン率
(2025年実績)</t>
        </is>
      </c>
      <c r="I5" s="4" t="inlineStr">
        <is>
          <t>月次粗利
(1配送あたり)</t>
        </is>
      </c>
      <c r="J5" s="4" t="inlineStr">
        <is>
          <t>CAC
(10期実績)</t>
        </is>
      </c>
      <c r="K5" s="4" t="inlineStr">
        <is>
          <t>LTV/CAC</t>
        </is>
      </c>
      <c r="L5" s="4" t="inlineStr"/>
    </row>
    <row r="6" ht="22" customHeight="1">
      <c r="A6" s="5" t="inlineStr">
        <is>
          <t>数値</t>
        </is>
      </c>
      <c r="B6" s="5" t="n">
        <v>8885</v>
      </c>
      <c r="C6" s="5" t="n">
        <v>1852</v>
      </c>
      <c r="D6" s="5" t="inlineStr">
        <is>
          <t>20.8%</t>
        </is>
      </c>
      <c r="E6" s="5" t="n">
        <v>7.2</v>
      </c>
      <c r="F6" s="5" t="inlineStr">
        <is>
          <t>¥8,712</t>
        </is>
      </c>
      <c r="G6" s="5" t="inlineStr">
        <is>
          <t>¥18,622</t>
        </is>
      </c>
      <c r="H6" s="5" t="inlineStr">
        <is>
          <t>6.1%</t>
        </is>
      </c>
      <c r="I6" s="5" t="inlineStr">
        <is>
          <t>¥1,136</t>
        </is>
      </c>
      <c r="J6" s="5" t="inlineStr">
        <is>
          <t>¥5,854</t>
        </is>
      </c>
      <c r="K6" s="5" t="n">
        <v>3.18</v>
      </c>
      <c r="L6" s="5" t="inlineStr"/>
    </row>
    <row r="7">
      <c r="A7" s="6" t="inlineStr">
        <is>
          <t>※実測コホートLTV = 観測ウィンドウ(2023-07〜2026-02)内の平均配送回数×¥1,136。古いコホート(12ヶ月以上経過)の平均値。理論LTVとの差は長期継続分。</t>
        </is>
      </c>
    </row>
    <row r="8" ht="14" customHeight="1"/>
    <row r="9">
      <c r="A9" s="3" t="inlineStr">
        <is>
          <t>■ 主要発見事項</t>
        </is>
      </c>
    </row>
    <row r="10" ht="52" customHeight="1">
      <c r="A10" s="7" t="inlineStr">
        <is>
          <t>🔴</t>
        </is>
      </c>
      <c r="B10" s="5" t="inlineStr">
        <is>
          <t>2024年1月の異常スパイク</t>
        </is>
      </c>
      <c r="C10" s="8" t="n"/>
      <c r="D10" s="9" t="inlineStr">
        <is>
          <t>1,728名が登録（通常月の約3〜5倍）。しかし継続率6.8%・削除率56.2%と最悪。TV出演等の一時的露出の可能性大。広告効果ではなく外部要因と判断すべき。</t>
        </is>
      </c>
      <c r="E10" s="10" t="n"/>
      <c r="F10" s="10" t="n"/>
      <c r="G10" s="10" t="n"/>
      <c r="H10" s="10" t="n"/>
      <c r="I10" s="10" t="n"/>
      <c r="J10" s="10" t="n"/>
      <c r="K10" s="10" t="n"/>
      <c r="L10" s="8" t="n"/>
    </row>
    <row r="11" ht="52" customHeight="1">
      <c r="A11" s="7" t="inlineStr">
        <is>
          <t>🟡</t>
        </is>
      </c>
      <c r="B11" s="5" t="inlineStr">
        <is>
          <t>広告はLTVを下げる可能性</t>
        </is>
      </c>
      <c r="C11" s="8" t="n"/>
      <c r="D11" s="9" t="inlineStr">
        <is>
          <t>高予算広告期（8期）の登録コホートはLTV¥7,384と低く、削除率も44.4%と高い。広告停止期のコホートはLTV¥7,611・継続率28.9%とやや良好。量より質の観点で広告戦略の見直しが必要。</t>
        </is>
      </c>
      <c r="E11" s="10" t="n"/>
      <c r="F11" s="10" t="n"/>
      <c r="G11" s="10" t="n"/>
      <c r="H11" s="10" t="n"/>
      <c r="I11" s="10" t="n"/>
      <c r="J11" s="10" t="n"/>
      <c r="K11" s="10" t="n"/>
      <c r="L11" s="8" t="n"/>
    </row>
    <row r="12" ht="52" customHeight="1">
      <c r="A12" s="7" t="inlineStr">
        <is>
          <t>🟢</t>
        </is>
      </c>
      <c r="B12" s="5" t="inlineStr">
        <is>
          <t>長期ユーザーは圧倒的なLTV</t>
        </is>
      </c>
      <c r="C12" s="8" t="n"/>
      <c r="D12" s="9" t="inlineStr">
        <is>
          <t>60回以上配送の384名は平均72.4回配送・LTV¥82,246・継続率86.2%。2020年登録者が55%。このコアユーザー層の維持が最重要。</t>
        </is>
      </c>
      <c r="E12" s="10" t="n"/>
      <c r="F12" s="10" t="n"/>
      <c r="G12" s="10" t="n"/>
      <c r="H12" s="10" t="n"/>
      <c r="I12" s="10" t="n"/>
      <c r="J12" s="10" t="n"/>
      <c r="K12" s="10" t="n"/>
      <c r="L12" s="8" t="n"/>
    </row>
    <row r="13" ht="52" customHeight="1">
      <c r="A13" s="7" t="inlineStr">
        <is>
          <t>🔵</t>
        </is>
      </c>
      <c r="B13" s="5" t="inlineStr">
        <is>
          <t>登録経路で最もLTVが高いのは紹介・テレビ・雑誌</t>
        </is>
      </c>
      <c r="C13" s="8" t="n"/>
      <c r="D13" s="9" t="inlineStr">
        <is>
          <t>知り合いの紹介（¥9,196）・テレビ番組（¥8,851）・雑誌（¥8,514）がLTV上位。SNS広告（Instagram¥7,720・Facebook¥6,930）はLTVが低め。紹介施策強化が有効か。</t>
        </is>
      </c>
      <c r="E13" s="10" t="n"/>
      <c r="F13" s="10" t="n"/>
      <c r="G13" s="10" t="n"/>
      <c r="H13" s="10" t="n"/>
      <c r="I13" s="10" t="n"/>
      <c r="J13" s="10" t="n"/>
      <c r="K13" s="10" t="n"/>
      <c r="L13" s="8" t="n"/>
    </row>
    <row r="14" ht="52" customHeight="1">
      <c r="A14" s="7" t="inlineStr">
        <is>
          <t>🟠</t>
        </is>
      </c>
      <c r="B14" s="5" t="inlineStr">
        <is>
          <t>LTV/CAC比率の検証</t>
        </is>
      </c>
      <c r="C14" s="8" t="n"/>
      <c r="D14" s="9" t="inlineStr">
        <is>
          <t>CAC¥5,854（10期）に対して理論LTV¥18,622ならLTV/CAC=3.2倍。実測LTV¥8,712ではLTV/CAC=1.5倍。採算ラインは見ているLTVによって大きく異なる。</t>
        </is>
      </c>
      <c r="E14" s="10" t="n"/>
      <c r="F14" s="10" t="n"/>
      <c r="G14" s="10" t="n"/>
      <c r="H14" s="10" t="n"/>
      <c r="I14" s="10" t="n"/>
      <c r="J14" s="10" t="n"/>
      <c r="K14" s="10" t="n"/>
      <c r="L14" s="8" t="n"/>
    </row>
  </sheetData>
  <mergeCells count="15">
    <mergeCell ref="D10:L10"/>
    <mergeCell ref="B13:C13"/>
    <mergeCell ref="A2:L2"/>
    <mergeCell ref="A7:L7"/>
    <mergeCell ref="D11:L11"/>
    <mergeCell ref="D13:L13"/>
    <mergeCell ref="B11:C11"/>
    <mergeCell ref="D14:L14"/>
    <mergeCell ref="A1:L1"/>
    <mergeCell ref="B10:C10"/>
    <mergeCell ref="B14:C14"/>
    <mergeCell ref="A9:L9"/>
    <mergeCell ref="D12:L12"/>
    <mergeCell ref="A4:L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</cols>
  <sheetData>
    <row r="1" ht="30" customHeight="1">
      <c r="A1" s="11" t="inlineStr">
        <is>
          <t>コホート別 LTV・継続率分析</t>
        </is>
      </c>
    </row>
    <row r="2" ht="16" customHeight="1">
      <c r="A2" s="12" t="inlineStr">
        <is>
          <t>登録月ごとの平均配送回数・実測LTV・継続状況。古いコホートほど観測期間が長くLTVが高くなる。最近のコホートは継続率が高く見えるのは離脱前のため。</t>
        </is>
      </c>
    </row>
    <row r="3" ht="36" customHeight="1">
      <c r="A3" s="4" t="inlineStr">
        <is>
          <t>登録月</t>
        </is>
      </c>
      <c r="B3" s="4" t="inlineStr">
        <is>
          <t>登録者数</t>
        </is>
      </c>
      <c r="C3" s="4" t="inlineStr">
        <is>
          <t>広告期区分</t>
        </is>
      </c>
      <c r="D3" s="4" t="inlineStr">
        <is>
          <t>平均配送回数</t>
        </is>
      </c>
      <c r="E3" s="4" t="inlineStr">
        <is>
          <t>実測LTV
(¥)</t>
        </is>
      </c>
      <c r="F3" s="4" t="inlineStr">
        <is>
          <t>有料継続率
(%)</t>
        </is>
      </c>
      <c r="G3" s="4" t="inlineStr">
        <is>
          <t>退会率
(%)</t>
        </is>
      </c>
      <c r="H3" s="4" t="inlineStr">
        <is>
          <t>休会率
(%)</t>
        </is>
      </c>
    </row>
    <row r="4" ht="18" customHeight="1">
      <c r="A4" s="13" t="inlineStr">
        <is>
          <t>2023-07</t>
        </is>
      </c>
      <c r="B4" s="13" t="n">
        <v>687</v>
      </c>
      <c r="C4" s="13" t="inlineStr">
        <is>
          <t>①8期前</t>
        </is>
      </c>
      <c r="D4" s="13" t="n">
        <v>9.6</v>
      </c>
      <c r="E4" s="14" t="n">
        <v>10851</v>
      </c>
      <c r="F4" s="15" t="n">
        <v>0.169</v>
      </c>
      <c r="G4" s="15" t="n">
        <v>0.381</v>
      </c>
      <c r="H4" s="15" t="n">
        <v>0.45</v>
      </c>
    </row>
    <row r="5" ht="18" customHeight="1">
      <c r="A5" s="13" t="inlineStr">
        <is>
          <t>2023-08</t>
        </is>
      </c>
      <c r="B5" s="13" t="n">
        <v>582</v>
      </c>
      <c r="C5" s="13" t="inlineStr">
        <is>
          <t>①8期前</t>
        </is>
      </c>
      <c r="D5" s="13" t="n">
        <v>9.800000000000001</v>
      </c>
      <c r="E5" s="14" t="n">
        <v>11169</v>
      </c>
      <c r="F5" s="15" t="n">
        <v>0.175</v>
      </c>
      <c r="G5" s="15" t="n">
        <v>0.371</v>
      </c>
      <c r="H5" s="15" t="n">
        <v>0.454</v>
      </c>
    </row>
    <row r="6" ht="18" customHeight="1">
      <c r="A6" s="16" t="inlineStr">
        <is>
          <t>2023-09</t>
        </is>
      </c>
      <c r="B6" s="16" t="n">
        <v>501</v>
      </c>
      <c r="C6" s="16" t="inlineStr">
        <is>
          <t>②8期高予算</t>
        </is>
      </c>
      <c r="D6" s="16" t="n">
        <v>9.199999999999999</v>
      </c>
      <c r="E6" s="17" t="n">
        <v>10487</v>
      </c>
      <c r="F6" s="18" t="n">
        <v>0.174</v>
      </c>
      <c r="G6" s="18" t="n">
        <v>0.355</v>
      </c>
      <c r="H6" s="18" t="n">
        <v>0.471</v>
      </c>
    </row>
    <row r="7" ht="18" customHeight="1">
      <c r="A7" s="16" t="inlineStr">
        <is>
          <t>2023-10</t>
        </is>
      </c>
      <c r="B7" s="16" t="n">
        <v>393</v>
      </c>
      <c r="C7" s="16" t="inlineStr">
        <is>
          <t>②8期高予算</t>
        </is>
      </c>
      <c r="D7" s="16" t="n">
        <v>9.5</v>
      </c>
      <c r="E7" s="17" t="n">
        <v>10811</v>
      </c>
      <c r="F7" s="18" t="n">
        <v>0.183</v>
      </c>
      <c r="G7" s="18" t="n">
        <v>0.392</v>
      </c>
      <c r="H7" s="18" t="n">
        <v>0.425</v>
      </c>
    </row>
    <row r="8" ht="18" customHeight="1">
      <c r="A8" s="16" t="inlineStr">
        <is>
          <t>2023-11</t>
        </is>
      </c>
      <c r="B8" s="16" t="n">
        <v>597</v>
      </c>
      <c r="C8" s="16" t="inlineStr">
        <is>
          <t>②8期高予算</t>
        </is>
      </c>
      <c r="D8" s="16" t="n">
        <v>9.300000000000001</v>
      </c>
      <c r="E8" s="17" t="n">
        <v>10606</v>
      </c>
      <c r="F8" s="18" t="n">
        <v>0.216</v>
      </c>
      <c r="G8" s="18" t="n">
        <v>0.317</v>
      </c>
      <c r="H8" s="18" t="n">
        <v>0.467</v>
      </c>
    </row>
    <row r="9" ht="18" customHeight="1">
      <c r="A9" s="16" t="inlineStr">
        <is>
          <t>2023-12</t>
        </is>
      </c>
      <c r="B9" s="16" t="n">
        <v>442</v>
      </c>
      <c r="C9" s="16" t="inlineStr">
        <is>
          <t>②8期高予算</t>
        </is>
      </c>
      <c r="D9" s="16" t="n">
        <v>8.699999999999999</v>
      </c>
      <c r="E9" s="17" t="n">
        <v>9867</v>
      </c>
      <c r="F9" s="18" t="n">
        <v>0.174</v>
      </c>
      <c r="G9" s="18" t="n">
        <v>0.301</v>
      </c>
      <c r="H9" s="18" t="n">
        <v>0.525</v>
      </c>
    </row>
    <row r="10" ht="18" customHeight="1">
      <c r="A10" s="19" t="inlineStr">
        <is>
          <t>2024-01</t>
        </is>
      </c>
      <c r="B10" s="19" t="n">
        <v>1728</v>
      </c>
      <c r="C10" s="19" t="inlineStr">
        <is>
          <t>②8期高予算 ※特殊</t>
        </is>
      </c>
      <c r="D10" s="19" t="n">
        <v>3.6</v>
      </c>
      <c r="E10" s="20" t="n">
        <v>4112</v>
      </c>
      <c r="F10" s="21" t="n">
        <v>0.068</v>
      </c>
      <c r="G10" s="21" t="n">
        <v>0.5620000000000001</v>
      </c>
      <c r="H10" s="21" t="n">
        <v>0.37</v>
      </c>
    </row>
    <row r="11" ht="18" customHeight="1">
      <c r="A11" s="22" t="inlineStr">
        <is>
          <t>2024-02</t>
        </is>
      </c>
      <c r="B11" s="22" t="n">
        <v>234</v>
      </c>
      <c r="C11" s="22" t="inlineStr">
        <is>
          <t>③8期低予算</t>
        </is>
      </c>
      <c r="D11" s="22" t="n">
        <v>8.4</v>
      </c>
      <c r="E11" s="23" t="n">
        <v>9520</v>
      </c>
      <c r="F11" s="24" t="n">
        <v>0.175</v>
      </c>
      <c r="G11" s="24" t="n">
        <v>0.338</v>
      </c>
      <c r="H11" s="24" t="n">
        <v>0.487</v>
      </c>
    </row>
    <row r="12" ht="18" customHeight="1">
      <c r="A12" s="22" t="inlineStr">
        <is>
          <t>2024-03</t>
        </is>
      </c>
      <c r="B12" s="22" t="n">
        <v>364</v>
      </c>
      <c r="C12" s="22" t="inlineStr">
        <is>
          <t>③8期低予算</t>
        </is>
      </c>
      <c r="D12" s="22" t="n">
        <v>8.6</v>
      </c>
      <c r="E12" s="23" t="n">
        <v>9767</v>
      </c>
      <c r="F12" s="24" t="n">
        <v>0.165</v>
      </c>
      <c r="G12" s="24" t="n">
        <v>0.341</v>
      </c>
      <c r="H12" s="24" t="n">
        <v>0.494</v>
      </c>
    </row>
    <row r="13" ht="18" customHeight="1">
      <c r="A13" s="22" t="inlineStr">
        <is>
          <t>2024-04</t>
        </is>
      </c>
      <c r="B13" s="22" t="n">
        <v>353</v>
      </c>
      <c r="C13" s="22" t="inlineStr">
        <is>
          <t>③8期低予算</t>
        </is>
      </c>
      <c r="D13" s="22" t="n">
        <v>8.300000000000001</v>
      </c>
      <c r="E13" s="23" t="n">
        <v>9450</v>
      </c>
      <c r="F13" s="24" t="n">
        <v>0.167</v>
      </c>
      <c r="G13" s="24" t="n">
        <v>0.337</v>
      </c>
      <c r="H13" s="24" t="n">
        <v>0.496</v>
      </c>
    </row>
    <row r="14" ht="18" customHeight="1">
      <c r="A14" s="22" t="inlineStr">
        <is>
          <t>2024-05</t>
        </is>
      </c>
      <c r="B14" s="22" t="n">
        <v>270</v>
      </c>
      <c r="C14" s="22" t="inlineStr">
        <is>
          <t>③8期低予算</t>
        </is>
      </c>
      <c r="D14" s="22" t="n">
        <v>8.199999999999999</v>
      </c>
      <c r="E14" s="23" t="n">
        <v>9327</v>
      </c>
      <c r="F14" s="24" t="n">
        <v>0.174</v>
      </c>
      <c r="G14" s="24" t="n">
        <v>0.304</v>
      </c>
      <c r="H14" s="24" t="n">
        <v>0.522</v>
      </c>
    </row>
    <row r="15" ht="18" customHeight="1">
      <c r="A15" s="22" t="inlineStr">
        <is>
          <t>2024-06</t>
        </is>
      </c>
      <c r="B15" s="22" t="n">
        <v>275</v>
      </c>
      <c r="C15" s="22" t="inlineStr">
        <is>
          <t>③8期低予算</t>
        </is>
      </c>
      <c r="D15" s="22" t="n">
        <v>8.199999999999999</v>
      </c>
      <c r="E15" s="23" t="n">
        <v>9293</v>
      </c>
      <c r="F15" s="24" t="n">
        <v>0.193</v>
      </c>
      <c r="G15" s="24" t="n">
        <v>0.298</v>
      </c>
      <c r="H15" s="24" t="n">
        <v>0.509</v>
      </c>
    </row>
    <row r="16" ht="18" customHeight="1">
      <c r="A16" s="22" t="inlineStr">
        <is>
          <t>2024-07</t>
        </is>
      </c>
      <c r="B16" s="22" t="n">
        <v>430</v>
      </c>
      <c r="C16" s="22" t="inlineStr">
        <is>
          <t>③8期低予算</t>
        </is>
      </c>
      <c r="D16" s="22" t="n">
        <v>7.4</v>
      </c>
      <c r="E16" s="23" t="n">
        <v>8400</v>
      </c>
      <c r="F16" s="24" t="n">
        <v>0.205</v>
      </c>
      <c r="G16" s="24" t="n">
        <v>0.298</v>
      </c>
      <c r="H16" s="24" t="n">
        <v>0.498</v>
      </c>
    </row>
    <row r="17" ht="18" customHeight="1">
      <c r="A17" s="22" t="inlineStr">
        <is>
          <t>2024-08</t>
        </is>
      </c>
      <c r="B17" s="22" t="n">
        <v>304</v>
      </c>
      <c r="C17" s="22" t="inlineStr">
        <is>
          <t>③8期低予算</t>
        </is>
      </c>
      <c r="D17" s="22" t="n">
        <v>7.3</v>
      </c>
      <c r="E17" s="23" t="n">
        <v>8285</v>
      </c>
      <c r="F17" s="24" t="n">
        <v>0.22</v>
      </c>
      <c r="G17" s="24" t="n">
        <v>0.296</v>
      </c>
      <c r="H17" s="24" t="n">
        <v>0.484</v>
      </c>
    </row>
    <row r="18" ht="18" customHeight="1">
      <c r="A18" s="25" t="inlineStr">
        <is>
          <t>2024-09</t>
        </is>
      </c>
      <c r="B18" s="25" t="n">
        <v>197</v>
      </c>
      <c r="C18" s="25" t="inlineStr">
        <is>
          <t>④9期停止</t>
        </is>
      </c>
      <c r="D18" s="25" t="n">
        <v>6.9</v>
      </c>
      <c r="E18" s="26" t="n">
        <v>7842</v>
      </c>
      <c r="F18" s="27" t="n">
        <v>0.274</v>
      </c>
      <c r="G18" s="27" t="n">
        <v>0.294</v>
      </c>
      <c r="H18" s="27" t="n">
        <v>0.431</v>
      </c>
    </row>
    <row r="19" ht="18" customHeight="1">
      <c r="A19" s="25" t="inlineStr">
        <is>
          <t>2024-10</t>
        </is>
      </c>
      <c r="B19" s="25" t="n">
        <v>203</v>
      </c>
      <c r="C19" s="25" t="inlineStr">
        <is>
          <t>④9期停止</t>
        </is>
      </c>
      <c r="D19" s="25" t="n">
        <v>7</v>
      </c>
      <c r="E19" s="26" t="n">
        <v>7966</v>
      </c>
      <c r="F19" s="27" t="n">
        <v>0.276</v>
      </c>
      <c r="G19" s="27" t="n">
        <v>0.296</v>
      </c>
      <c r="H19" s="27" t="n">
        <v>0.429</v>
      </c>
    </row>
    <row r="20" ht="18" customHeight="1">
      <c r="A20" s="25" t="inlineStr">
        <is>
          <t>2024-11</t>
        </is>
      </c>
      <c r="B20" s="25" t="n">
        <v>87</v>
      </c>
      <c r="C20" s="25" t="inlineStr">
        <is>
          <t>④9期停止</t>
        </is>
      </c>
      <c r="D20" s="25" t="n">
        <v>6.2</v>
      </c>
      <c r="E20" s="26" t="n">
        <v>7043</v>
      </c>
      <c r="F20" s="27" t="n">
        <v>0.322</v>
      </c>
      <c r="G20" s="27" t="n">
        <v>0.299</v>
      </c>
      <c r="H20" s="27" t="n">
        <v>0.379</v>
      </c>
    </row>
    <row r="21" ht="18" customHeight="1">
      <c r="A21" s="25" t="inlineStr">
        <is>
          <t>2024-12</t>
        </is>
      </c>
      <c r="B21" s="25" t="n">
        <v>206</v>
      </c>
      <c r="C21" s="25" t="inlineStr">
        <is>
          <t>④9期停止</t>
        </is>
      </c>
      <c r="D21" s="25" t="n">
        <v>6.9</v>
      </c>
      <c r="E21" s="26" t="n">
        <v>7828</v>
      </c>
      <c r="F21" s="27" t="n">
        <v>0.282</v>
      </c>
      <c r="G21" s="27" t="n">
        <v>0.316</v>
      </c>
      <c r="H21" s="27" t="n">
        <v>0.403</v>
      </c>
    </row>
    <row r="22" ht="18" customHeight="1">
      <c r="A22" s="25" t="inlineStr">
        <is>
          <t>2025-01</t>
        </is>
      </c>
      <c r="B22" s="25" t="n">
        <v>147</v>
      </c>
      <c r="C22" s="25" t="inlineStr">
        <is>
          <t>④9期停止</t>
        </is>
      </c>
      <c r="D22" s="25" t="n">
        <v>6.3</v>
      </c>
      <c r="E22" s="26" t="n">
        <v>7153</v>
      </c>
      <c r="F22" s="27" t="n">
        <v>0.279</v>
      </c>
      <c r="G22" s="27" t="n">
        <v>0.32</v>
      </c>
      <c r="H22" s="27" t="n">
        <v>0.401</v>
      </c>
    </row>
    <row r="23" ht="18" customHeight="1">
      <c r="A23" s="28" t="inlineStr">
        <is>
          <t>2025-02</t>
        </is>
      </c>
      <c r="B23" s="28" t="n">
        <v>78</v>
      </c>
      <c r="C23" s="28" t="inlineStr">
        <is>
          <t>⑤9期再開50万</t>
        </is>
      </c>
      <c r="D23" s="28" t="n">
        <v>5.8</v>
      </c>
      <c r="E23" s="29" t="n">
        <v>6584</v>
      </c>
      <c r="F23" s="30" t="n">
        <v>0.346</v>
      </c>
      <c r="G23" s="30" t="n">
        <v>0.256</v>
      </c>
      <c r="H23" s="30" t="n">
        <v>0.397</v>
      </c>
    </row>
    <row r="24" ht="18" customHeight="1">
      <c r="A24" s="28" t="inlineStr">
        <is>
          <t>2025-03</t>
        </is>
      </c>
      <c r="B24" s="28" t="n">
        <v>118</v>
      </c>
      <c r="C24" s="28" t="inlineStr">
        <is>
          <t>⑤9期再開50万</t>
        </is>
      </c>
      <c r="D24" s="28" t="n">
        <v>5.5</v>
      </c>
      <c r="E24" s="29" t="n">
        <v>6267</v>
      </c>
      <c r="F24" s="30" t="n">
        <v>0.381</v>
      </c>
      <c r="G24" s="30" t="n">
        <v>0.22</v>
      </c>
      <c r="H24" s="30" t="n">
        <v>0.398</v>
      </c>
    </row>
    <row r="25" ht="18" customHeight="1">
      <c r="A25" s="28" t="inlineStr">
        <is>
          <t>2025-04</t>
        </is>
      </c>
      <c r="B25" s="28" t="n">
        <v>140</v>
      </c>
      <c r="C25" s="28" t="inlineStr">
        <is>
          <t>⑤9期再開50万</t>
        </is>
      </c>
      <c r="D25" s="28" t="n">
        <v>5.5</v>
      </c>
      <c r="E25" s="29" t="n">
        <v>6246</v>
      </c>
      <c r="F25" s="30" t="n">
        <v>0.407</v>
      </c>
      <c r="G25" s="30" t="n">
        <v>0.236</v>
      </c>
      <c r="H25" s="30" t="n">
        <v>0.357</v>
      </c>
    </row>
    <row r="26" ht="18" customHeight="1">
      <c r="A26" s="28" t="inlineStr">
        <is>
          <t>2025-05</t>
        </is>
      </c>
      <c r="B26" s="28" t="n">
        <v>79</v>
      </c>
      <c r="C26" s="28" t="inlineStr">
        <is>
          <t>⑤9期再開50万</t>
        </is>
      </c>
      <c r="D26" s="28" t="n">
        <v>5.6</v>
      </c>
      <c r="E26" s="29" t="n">
        <v>6353</v>
      </c>
      <c r="F26" s="30" t="n">
        <v>0.38</v>
      </c>
      <c r="G26" s="30" t="n">
        <v>0.253</v>
      </c>
      <c r="H26" s="30" t="n">
        <v>0.367</v>
      </c>
    </row>
    <row r="27" ht="18" customHeight="1">
      <c r="A27" s="28" t="inlineStr">
        <is>
          <t>2025-06</t>
        </is>
      </c>
      <c r="B27" s="28" t="n">
        <v>70</v>
      </c>
      <c r="C27" s="28" t="inlineStr">
        <is>
          <t>⑤9期再開50万</t>
        </is>
      </c>
      <c r="D27" s="28" t="n">
        <v>5.6</v>
      </c>
      <c r="E27" s="29" t="n">
        <v>6338</v>
      </c>
      <c r="F27" s="30" t="n">
        <v>0.4</v>
      </c>
      <c r="G27" s="30" t="n">
        <v>0.214</v>
      </c>
      <c r="H27" s="30" t="n">
        <v>0.386</v>
      </c>
    </row>
    <row r="28" ht="18" customHeight="1">
      <c r="A28" s="31" t="inlineStr">
        <is>
          <t>2025-07</t>
        </is>
      </c>
      <c r="B28" s="31" t="n">
        <v>40</v>
      </c>
      <c r="C28" s="31" t="inlineStr">
        <is>
          <t>⑥10期</t>
        </is>
      </c>
      <c r="D28" s="31" t="n">
        <v>3.8</v>
      </c>
      <c r="E28" s="32" t="n">
        <v>4345</v>
      </c>
      <c r="F28" s="33" t="n">
        <v>0.425</v>
      </c>
      <c r="G28" s="33" t="n">
        <v>0.3</v>
      </c>
      <c r="H28" s="33" t="n">
        <v>0.275</v>
      </c>
    </row>
    <row r="29" ht="18" customHeight="1">
      <c r="A29" s="31" t="inlineStr">
        <is>
          <t>2025-08</t>
        </is>
      </c>
      <c r="B29" s="31" t="n">
        <v>68</v>
      </c>
      <c r="C29" s="31" t="inlineStr">
        <is>
          <t>⑥10期</t>
        </is>
      </c>
      <c r="D29" s="31" t="n">
        <v>4.4</v>
      </c>
      <c r="E29" s="32" t="n">
        <v>5012</v>
      </c>
      <c r="F29" s="33" t="n">
        <v>0.5589999999999999</v>
      </c>
      <c r="G29" s="33" t="n">
        <v>0.25</v>
      </c>
      <c r="H29" s="33" t="n">
        <v>0.191</v>
      </c>
    </row>
    <row r="30" ht="18" customHeight="1">
      <c r="A30" s="31" t="inlineStr">
        <is>
          <t>2025-09</t>
        </is>
      </c>
      <c r="B30" s="31" t="n">
        <v>62</v>
      </c>
      <c r="C30" s="31" t="inlineStr">
        <is>
          <t>⑥10期</t>
        </is>
      </c>
      <c r="D30" s="31" t="n">
        <v>3</v>
      </c>
      <c r="E30" s="32" t="n">
        <v>3463</v>
      </c>
      <c r="F30" s="33" t="n">
        <v>0.387</v>
      </c>
      <c r="G30" s="33" t="n">
        <v>0.226</v>
      </c>
      <c r="H30" s="33" t="n">
        <v>0.387</v>
      </c>
    </row>
    <row r="31" ht="18" customHeight="1">
      <c r="A31" s="31" t="inlineStr">
        <is>
          <t>2025-10</t>
        </is>
      </c>
      <c r="B31" s="31" t="n">
        <v>46</v>
      </c>
      <c r="C31" s="31" t="inlineStr">
        <is>
          <t>⑥10期</t>
        </is>
      </c>
      <c r="D31" s="31" t="n">
        <v>2.8</v>
      </c>
      <c r="E31" s="32" t="n">
        <v>3210</v>
      </c>
      <c r="F31" s="33" t="n">
        <v>0.478</v>
      </c>
      <c r="G31" s="33" t="n">
        <v>0.304</v>
      </c>
      <c r="H31" s="33" t="n">
        <v>0.217</v>
      </c>
    </row>
    <row r="32" ht="18" customHeight="1">
      <c r="A32" s="31" t="inlineStr">
        <is>
          <t>2025-11</t>
        </is>
      </c>
      <c r="B32" s="31" t="n">
        <v>66</v>
      </c>
      <c r="C32" s="31" t="inlineStr">
        <is>
          <t>⑥10期</t>
        </is>
      </c>
      <c r="D32" s="31" t="n">
        <v>2.6</v>
      </c>
      <c r="E32" s="32" t="n">
        <v>2995</v>
      </c>
      <c r="F32" s="33" t="n">
        <v>0.667</v>
      </c>
      <c r="G32" s="33" t="n">
        <v>0.106</v>
      </c>
      <c r="H32" s="33" t="n">
        <v>0.227</v>
      </c>
    </row>
    <row r="33" ht="18" customHeight="1">
      <c r="A33" s="31" t="inlineStr">
        <is>
          <t>2025-12</t>
        </is>
      </c>
      <c r="B33" s="31" t="n">
        <v>59</v>
      </c>
      <c r="C33" s="31" t="inlineStr">
        <is>
          <t>⑥10期</t>
        </is>
      </c>
      <c r="D33" s="31" t="n">
        <v>2</v>
      </c>
      <c r="E33" s="32" t="n">
        <v>2253</v>
      </c>
      <c r="F33" s="33" t="n">
        <v>0.746</v>
      </c>
      <c r="G33" s="33" t="n">
        <v>0.136</v>
      </c>
      <c r="H33" s="33" t="n">
        <v>0.119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</cols>
  <sheetData>
    <row r="1" ht="30" customHeight="1">
      <c r="A1" s="11" t="inlineStr">
        <is>
          <t>広告期間別 ユーザー獲得・LTV・継続率 分析</t>
        </is>
      </c>
    </row>
    <row r="3" ht="18" customHeight="1">
      <c r="A3" s="3" t="inlineStr">
        <is>
          <t>■ 広告費サマリー（ユーザー提供情報）</t>
        </is>
      </c>
    </row>
    <row r="4" ht="20" customHeight="1">
      <c r="A4" s="4" t="inlineStr">
        <is>
          <t>期</t>
        </is>
      </c>
      <c r="B4" s="4" t="inlineStr">
        <is>
          <t>期間</t>
        </is>
      </c>
      <c r="C4" s="4" t="inlineStr">
        <is>
          <t>月次広告予算（概算）</t>
        </is>
      </c>
      <c r="D4" s="4" t="inlineStr">
        <is>
          <t>備考</t>
        </is>
      </c>
    </row>
    <row r="5" ht="18" customHeight="1">
      <c r="A5" s="34" t="inlineStr">
        <is>
          <t>8期前</t>
        </is>
      </c>
      <c r="B5" s="34" t="inlineStr">
        <is>
          <t>2023-07〜08</t>
        </is>
      </c>
      <c r="C5" s="34" t="inlineStr">
        <is>
          <t>¥0（広告なし）</t>
        </is>
      </c>
      <c r="D5" s="34" t="inlineStr">
        <is>
          <t>サービス初期オーガニック</t>
        </is>
      </c>
    </row>
    <row r="6" ht="18" customHeight="1">
      <c r="A6" s="35" t="inlineStr">
        <is>
          <t>8期（前半）</t>
        </is>
      </c>
      <c r="B6" s="35" t="inlineStr">
        <is>
          <t>2023-09〜10</t>
        </is>
      </c>
      <c r="C6" s="35" t="inlineStr">
        <is>
          <t>¥10,000,000〜/月</t>
        </is>
      </c>
      <c r="D6" s="35" t="inlineStr">
        <is>
          <t>最大規模の広告投下</t>
        </is>
      </c>
    </row>
    <row r="7" ht="18" customHeight="1">
      <c r="A7" s="34" t="inlineStr">
        <is>
          <t>8期（後半）</t>
        </is>
      </c>
      <c r="B7" s="34" t="inlineStr">
        <is>
          <t>2023-11〜2024-01</t>
        </is>
      </c>
      <c r="C7" s="34" t="inlineStr">
        <is>
          <t>¥7,000,000〜/月</t>
        </is>
      </c>
      <c r="D7" s="34" t="inlineStr">
        <is>
          <t>高予算継続</t>
        </is>
      </c>
    </row>
    <row r="8" ht="18" customHeight="1">
      <c r="A8" s="35" t="inlineStr">
        <is>
          <t>8期（終盤）</t>
        </is>
      </c>
      <c r="B8" s="35" t="inlineStr">
        <is>
          <t>2024-02〜08</t>
        </is>
      </c>
      <c r="C8" s="35" t="inlineStr">
        <is>
          <t>¥3,000,000〜/月</t>
        </is>
      </c>
      <c r="D8" s="35" t="inlineStr">
        <is>
          <t>予算削減フェーズ</t>
        </is>
      </c>
    </row>
    <row r="9" ht="18" customHeight="1">
      <c r="A9" s="34" t="inlineStr">
        <is>
          <t>9期（前半）</t>
        </is>
      </c>
      <c r="B9" s="34" t="inlineStr">
        <is>
          <t>2024-09〜2025-01</t>
        </is>
      </c>
      <c r="C9" s="34" t="inlineStr">
        <is>
          <t>¥0（完全停止）</t>
        </is>
      </c>
      <c r="D9" s="34" t="inlineStr">
        <is>
          <t>広告完全停止</t>
        </is>
      </c>
    </row>
    <row r="10" ht="18" customHeight="1">
      <c r="A10" s="35" t="inlineStr">
        <is>
          <t>9期（後半）</t>
        </is>
      </c>
      <c r="B10" s="35" t="inlineStr">
        <is>
          <t>2025-02〜06</t>
        </is>
      </c>
      <c r="C10" s="35" t="inlineStr">
        <is>
          <t>¥500,000/月</t>
        </is>
      </c>
      <c r="D10" s="35" t="inlineStr">
        <is>
          <t>低予算で再開</t>
        </is>
      </c>
    </row>
    <row r="11" ht="18" customHeight="1">
      <c r="A11" s="34" t="inlineStr">
        <is>
          <t>10期</t>
        </is>
      </c>
      <c r="B11" s="34" t="inlineStr">
        <is>
          <t>2025-07〜12</t>
        </is>
      </c>
      <c r="C11" s="34" t="inlineStr">
        <is>
          <t>¥52,689/月（¥316,137/6ヶ月）</t>
        </is>
      </c>
      <c r="D11" s="34" t="inlineStr">
        <is>
          <t>最低予算。CAC=¥5,854、獲得54名</t>
        </is>
      </c>
    </row>
    <row r="13" ht="14" customHeight="1"/>
    <row r="14" ht="20" customHeight="1">
      <c r="A14" s="3" t="inlineStr">
        <is>
          <t>■ 期別 KPI比較</t>
        </is>
      </c>
    </row>
    <row r="15" ht="40" customHeight="1">
      <c r="A15" s="4" t="inlineStr">
        <is>
          <t>広告期区分</t>
        </is>
      </c>
      <c r="B15" s="4" t="inlineStr">
        <is>
          <t>対象月数</t>
        </is>
      </c>
      <c r="C15" s="4" t="inlineStr">
        <is>
          <t>累計登録者数</t>
        </is>
      </c>
      <c r="D15" s="4" t="inlineStr">
        <is>
          <t>月平均登録者数</t>
        </is>
      </c>
      <c r="E15" s="4" t="inlineStr">
        <is>
          <t>平均配送回数</t>
        </is>
      </c>
      <c r="F15" s="4" t="inlineStr">
        <is>
          <t>実測LTV
(¥)</t>
        </is>
      </c>
      <c r="G15" s="4" t="inlineStr">
        <is>
          <t>有料継続率</t>
        </is>
      </c>
      <c r="H15" s="4" t="inlineStr">
        <is>
          <t>退会率</t>
        </is>
      </c>
      <c r="I15" s="4" t="inlineStr">
        <is>
          <t>月額予算目安
(¥/月)</t>
        </is>
      </c>
    </row>
    <row r="16" ht="20" customHeight="1">
      <c r="A16" s="13" t="inlineStr">
        <is>
          <t>①8期前（広告前）</t>
        </is>
      </c>
      <c r="B16" s="13" t="n">
        <v>2</v>
      </c>
      <c r="C16" s="13" t="n">
        <v>1269</v>
      </c>
      <c r="D16" s="13" t="n">
        <v>635</v>
      </c>
      <c r="E16" s="13" t="n">
        <v>9.699999999999999</v>
      </c>
      <c r="F16" s="14" t="n">
        <v>11019</v>
      </c>
      <c r="G16" s="15" t="n">
        <v>0.172</v>
      </c>
      <c r="H16" s="15" t="n">
        <v>0.376</v>
      </c>
      <c r="I16" s="14" t="n">
        <v>0</v>
      </c>
    </row>
    <row r="17" ht="20" customHeight="1">
      <c r="A17" s="16" t="inlineStr">
        <is>
          <t>②8期高予算広告</t>
        </is>
      </c>
      <c r="B17" s="16" t="n">
        <v>5</v>
      </c>
      <c r="C17" s="16" t="n">
        <v>3661</v>
      </c>
      <c r="D17" s="16" t="n">
        <v>732</v>
      </c>
      <c r="E17" s="16" t="n">
        <v>6.5</v>
      </c>
      <c r="F17" s="17" t="n">
        <v>7384</v>
      </c>
      <c r="G17" s="18" t="n">
        <v>0.132</v>
      </c>
      <c r="H17" s="18" t="n">
        <v>0.444</v>
      </c>
      <c r="I17" s="17" t="n">
        <v>8500000</v>
      </c>
    </row>
    <row r="18" ht="20" customHeight="1">
      <c r="A18" s="22" t="inlineStr">
        <is>
          <t>③8期低予算広告</t>
        </is>
      </c>
      <c r="B18" s="22" t="n">
        <v>7</v>
      </c>
      <c r="C18" s="22" t="n">
        <v>2230</v>
      </c>
      <c r="D18" s="22" t="n">
        <v>319</v>
      </c>
      <c r="E18" s="22" t="n">
        <v>8.300000000000001</v>
      </c>
      <c r="F18" s="23" t="n">
        <v>9429</v>
      </c>
      <c r="G18" s="24" t="n">
        <v>0.213</v>
      </c>
      <c r="H18" s="24" t="n">
        <v>0.333</v>
      </c>
      <c r="I18" s="23" t="n">
        <v>3000000</v>
      </c>
    </row>
    <row r="19" ht="20" customHeight="1">
      <c r="A19" s="25" t="inlineStr">
        <is>
          <t>④9期広告停止</t>
        </is>
      </c>
      <c r="B19" s="25" t="n">
        <v>5</v>
      </c>
      <c r="C19" s="25" t="n">
        <v>840</v>
      </c>
      <c r="D19" s="25" t="n">
        <v>168</v>
      </c>
      <c r="E19" s="25" t="n">
        <v>6.7</v>
      </c>
      <c r="F19" s="26" t="n">
        <v>7611</v>
      </c>
      <c r="G19" s="27" t="n">
        <v>0.289</v>
      </c>
      <c r="H19" s="27" t="n">
        <v>0.308</v>
      </c>
      <c r="I19" s="26" t="n">
        <v>0</v>
      </c>
    </row>
    <row r="20" ht="20" customHeight="1">
      <c r="A20" s="28" t="inlineStr">
        <is>
          <t>⑤9期広告再開（50万）</t>
        </is>
      </c>
      <c r="B20" s="28" t="n">
        <v>5</v>
      </c>
      <c r="C20" s="28" t="n">
        <v>485</v>
      </c>
      <c r="D20" s="28" t="n">
        <v>97</v>
      </c>
      <c r="E20" s="28" t="n">
        <v>5.7</v>
      </c>
      <c r="F20" s="29" t="n">
        <v>6475</v>
      </c>
      <c r="G20" s="30" t="n">
        <v>0.386</v>
      </c>
      <c r="H20" s="30" t="n">
        <v>0.247</v>
      </c>
      <c r="I20" s="29" t="n">
        <v>500000</v>
      </c>
    </row>
    <row r="21" ht="20" customHeight="1">
      <c r="A21" s="31" t="inlineStr">
        <is>
          <t>⑥10期（316,137円）</t>
        </is>
      </c>
      <c r="B21" s="31" t="n">
        <v>8</v>
      </c>
      <c r="C21" s="31" t="n">
        <v>341</v>
      </c>
      <c r="D21" s="31" t="n">
        <v>43</v>
      </c>
      <c r="E21" s="31" t="n">
        <v>3.3</v>
      </c>
      <c r="F21" s="32" t="n">
        <v>3748</v>
      </c>
      <c r="G21" s="33" t="n">
        <v>0.5579999999999999</v>
      </c>
      <c r="H21" s="33" t="n">
        <v>0.224</v>
      </c>
      <c r="I21" s="32" t="n">
        <v>52689</v>
      </c>
    </row>
    <row r="23" ht="14" customHeight="1"/>
    <row r="24">
      <c r="A24" s="3" t="inlineStr">
        <is>
          <t>■ 広告インサイト</t>
        </is>
      </c>
    </row>
    <row r="25" ht="36" customHeight="1">
      <c r="A25" s="36" t="inlineStr">
        <is>
          <t>▶ 【量と質のトレードオフ】高予算広告（8期前半）は月732名を獲得したが、LTVは最低の¥7,384。広告停止期のコホートはLTV¥7,611とやや高く、継続率も高い傾向。</t>
        </is>
      </c>
    </row>
    <row r="26" ht="36" customHeight="1">
      <c r="A26" s="36" t="inlineStr">
        <is>
          <t>▶ 【2024-01の異常値】8期高予算期の2024-01は1,728名の大スパイクだが退会率56.2%。この月のコホートを除くと8期のLTVが改善される。外部要因（TV出演等）の調査が必要。</t>
        </is>
      </c>
    </row>
    <row r="27" ht="36" customHeight="1">
      <c r="A27" s="36" t="inlineStr">
        <is>
          <t>▶ 【10期の高いLTV/CAC】10期は月43名と少ないが、継続率が最も高い（55.8%）。低予算でもターゲティング精度が高まっている可能性あり。</t>
        </is>
      </c>
    </row>
    <row r="28" ht="36" customHeight="1">
      <c r="A28" s="36" t="inlineStr">
        <is>
          <t>▶ 【CAC¥5,854の妥当性】理論LTV¥18,622に対してLTV/CAC=3.2倍。実測LTV¥8,712だと1.5倍。持続的な成長には理論LTVに近い実績をコホートで証明する必要がある。</t>
        </is>
      </c>
    </row>
  </sheetData>
  <mergeCells count="8">
    <mergeCell ref="A1:J1"/>
    <mergeCell ref="A25:I25"/>
    <mergeCell ref="A14:J14"/>
    <mergeCell ref="A28:I28"/>
    <mergeCell ref="A3:J3"/>
    <mergeCell ref="A27:I27"/>
    <mergeCell ref="A24:J24"/>
    <mergeCell ref="A26:I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" customWidth="1" min="4" max="4"/>
    <col width="16" customWidth="1" min="5" max="5"/>
    <col width="10" customWidth="1" min="6" max="6"/>
    <col width="10" customWidth="1" min="7" max="7"/>
    <col width="30" customWidth="1" min="8" max="8"/>
  </cols>
  <sheetData>
    <row r="1" ht="30" customHeight="1">
      <c r="A1" s="11" t="inlineStr">
        <is>
          <t>長期ユーザー（60回以上配送）属性分析</t>
        </is>
      </c>
    </row>
    <row r="2" ht="20" customHeight="1">
      <c r="A2" s="3" t="inlineStr">
        <is>
          <t>■ 長期ユーザーKPI（n=384名）</t>
        </is>
      </c>
    </row>
    <row r="3">
      <c r="A3" s="37" t="inlineStr">
        <is>
          <t>対象ユーザー数</t>
        </is>
      </c>
      <c r="B3" s="37" t="inlineStr">
        <is>
          <t>平均配送回数</t>
        </is>
      </c>
      <c r="C3" s="37" t="inlineStr">
        <is>
          <t>最大配送回数</t>
        </is>
      </c>
      <c r="D3" s="37" t="inlineStr">
        <is>
          <t>平均LTV(実測)</t>
        </is>
      </c>
      <c r="E3" s="37" t="inlineStr">
        <is>
          <t>有料継続率</t>
        </is>
      </c>
      <c r="F3" s="37" t="inlineStr">
        <is>
          <t>主な登録年</t>
        </is>
      </c>
    </row>
    <row r="4">
      <c r="A4" s="38" t="n">
        <v>384</v>
      </c>
      <c r="B4" s="38" t="n">
        <v>72.40000000000001</v>
      </c>
      <c r="C4" s="38" t="n">
        <v>386</v>
      </c>
      <c r="D4" s="38" t="inlineStr">
        <is>
          <t>¥82,246</t>
        </is>
      </c>
      <c r="E4" s="38" t="inlineStr">
        <is>
          <t>86.2%</t>
        </is>
      </c>
      <c r="F4" s="38" t="inlineStr">
        <is>
          <t>2020年（55%）</t>
        </is>
      </c>
    </row>
    <row r="5" ht="10" customHeight="1"/>
    <row r="6">
      <c r="A6" s="3" t="inlineStr">
        <is>
          <t>■ 属性分布</t>
        </is>
      </c>
    </row>
    <row r="7">
      <c r="A7" s="4" t="inlineStr">
        <is>
          <t>性別</t>
        </is>
      </c>
      <c r="B7" s="4" t="inlineStr">
        <is>
          <t>人数</t>
        </is>
      </c>
      <c r="C7" s="4" t="inlineStr">
        <is>
          <t>割合</t>
        </is>
      </c>
    </row>
    <row r="8">
      <c r="A8" s="39" t="inlineStr">
        <is>
          <t>female（女性）</t>
        </is>
      </c>
      <c r="B8" s="39" t="n">
        <v>225</v>
      </c>
      <c r="C8" s="39" t="inlineStr">
        <is>
          <t>58.6%</t>
        </is>
      </c>
    </row>
    <row r="9">
      <c r="A9" s="35" t="inlineStr">
        <is>
          <t>other</t>
        </is>
      </c>
      <c r="B9" s="35" t="n">
        <v>83</v>
      </c>
      <c r="C9" s="35" t="inlineStr">
        <is>
          <t>21.6%</t>
        </is>
      </c>
    </row>
    <row r="10">
      <c r="A10" s="39" t="inlineStr">
        <is>
          <t>male（男性）</t>
        </is>
      </c>
      <c r="B10" s="39" t="n">
        <v>76</v>
      </c>
      <c r="C10" s="39" t="inlineStr">
        <is>
          <t>19.8%</t>
        </is>
      </c>
    </row>
    <row r="12">
      <c r="A12" s="40" t="inlineStr">
        <is>
          <t>年代分布</t>
        </is>
      </c>
    </row>
    <row r="13">
      <c r="A13" s="41" t="inlineStr">
        <is>
          <t>年代</t>
        </is>
      </c>
      <c r="B13" s="41" t="inlineStr">
        <is>
          <t>人数</t>
        </is>
      </c>
      <c r="C13" s="41" t="inlineStr">
        <is>
          <t>割合</t>
        </is>
      </c>
    </row>
    <row r="14">
      <c r="A14" s="39" t="inlineStr">
        <is>
          <t>50代</t>
        </is>
      </c>
      <c r="B14" s="39" t="n">
        <v>103</v>
      </c>
      <c r="C14" s="39" t="inlineStr">
        <is>
          <t>26.8%</t>
        </is>
      </c>
    </row>
    <row r="15">
      <c r="A15" s="35" t="inlineStr">
        <is>
          <t>60代</t>
        </is>
      </c>
      <c r="B15" s="35" t="n">
        <v>83</v>
      </c>
      <c r="C15" s="35" t="inlineStr">
        <is>
          <t>21.6%</t>
        </is>
      </c>
    </row>
    <row r="16">
      <c r="A16" s="39" t="inlineStr">
        <is>
          <t>不明/0代</t>
        </is>
      </c>
      <c r="B16" s="39" t="n">
        <v>81</v>
      </c>
      <c r="C16" s="39" t="inlineStr">
        <is>
          <t>21.1%</t>
        </is>
      </c>
    </row>
    <row r="17">
      <c r="A17" s="35" t="inlineStr">
        <is>
          <t>40代</t>
        </is>
      </c>
      <c r="B17" s="35" t="n">
        <v>58</v>
      </c>
      <c r="C17" s="35" t="inlineStr">
        <is>
          <t>15.1%</t>
        </is>
      </c>
    </row>
    <row r="18">
      <c r="A18" s="39" t="inlineStr">
        <is>
          <t>30代</t>
        </is>
      </c>
      <c r="B18" s="39" t="n">
        <v>31</v>
      </c>
      <c r="C18" s="39" t="inlineStr">
        <is>
          <t>8.1%</t>
        </is>
      </c>
    </row>
    <row r="19">
      <c r="A19" s="35" t="inlineStr">
        <is>
          <t>70代</t>
        </is>
      </c>
      <c r="B19" s="35" t="n">
        <v>22</v>
      </c>
      <c r="C19" s="35" t="inlineStr">
        <is>
          <t>5.7%</t>
        </is>
      </c>
    </row>
    <row r="21">
      <c r="A21" s="40" t="inlineStr">
        <is>
          <t>プラン分布</t>
        </is>
      </c>
    </row>
    <row r="22">
      <c r="A22" s="41" t="inlineStr">
        <is>
          <t>プラン</t>
        </is>
      </c>
      <c r="B22" s="41" t="inlineStr">
        <is>
          <t>人数</t>
        </is>
      </c>
      <c r="C22" s="41" t="inlineStr">
        <is>
          <t>割合</t>
        </is>
      </c>
    </row>
    <row r="23">
      <c r="A23" s="42" t="inlineStr">
        <is>
          <t>oneMonth（月1回）</t>
        </is>
      </c>
      <c r="B23" s="42" t="n">
        <v>305</v>
      </c>
      <c r="C23" s="42" t="inlineStr">
        <is>
          <t>79.4%</t>
        </is>
      </c>
    </row>
    <row r="24">
      <c r="A24" s="35" t="inlineStr">
        <is>
          <t>twoWeeks（隔週）</t>
        </is>
      </c>
      <c r="B24" s="35" t="n">
        <v>48</v>
      </c>
      <c r="C24" s="35" t="inlineStr">
        <is>
          <t>12.5%</t>
        </is>
      </c>
    </row>
    <row r="25">
      <c r="A25" s="42" t="inlineStr">
        <is>
          <t>twoMonths（2ヶ月毎）</t>
        </is>
      </c>
      <c r="B25" s="42" t="n">
        <v>31</v>
      </c>
      <c r="C25" s="42" t="inlineStr">
        <is>
          <t>8.1%</t>
        </is>
      </c>
    </row>
    <row r="27">
      <c r="A27" s="40" t="inlineStr">
        <is>
          <t>登録年分布</t>
        </is>
      </c>
    </row>
    <row r="28">
      <c r="A28" s="41" t="inlineStr">
        <is>
          <t>登録年</t>
        </is>
      </c>
      <c r="B28" s="41" t="inlineStr">
        <is>
          <t>人数</t>
        </is>
      </c>
      <c r="C28" s="41" t="inlineStr">
        <is>
          <t>割合</t>
        </is>
      </c>
    </row>
    <row r="29">
      <c r="A29" s="43" t="inlineStr">
        <is>
          <t>2020年</t>
        </is>
      </c>
      <c r="B29" s="43" t="n">
        <v>211</v>
      </c>
      <c r="C29" s="43" t="inlineStr">
        <is>
          <t>54.9%</t>
        </is>
      </c>
    </row>
    <row r="30">
      <c r="A30" s="35" t="inlineStr">
        <is>
          <t>2021年</t>
        </is>
      </c>
      <c r="B30" s="35" t="n">
        <v>114</v>
      </c>
      <c r="C30" s="35" t="inlineStr">
        <is>
          <t>29.7%</t>
        </is>
      </c>
    </row>
    <row r="31">
      <c r="A31" s="43" t="inlineStr">
        <is>
          <t>2022年</t>
        </is>
      </c>
      <c r="B31" s="43" t="n">
        <v>45</v>
      </c>
      <c r="C31" s="43" t="inlineStr">
        <is>
          <t>11.7%</t>
        </is>
      </c>
    </row>
    <row r="32">
      <c r="A32" s="35" t="inlineStr">
        <is>
          <t>2023年</t>
        </is>
      </c>
      <c r="B32" s="35" t="n">
        <v>14</v>
      </c>
      <c r="C32" s="35" t="inlineStr">
        <is>
          <t>3.6%</t>
        </is>
      </c>
    </row>
    <row r="33">
      <c r="E33" s="3" t="inlineStr">
        <is>
          <t>■ 居住都道府県 TOP10</t>
        </is>
      </c>
    </row>
    <row r="34" ht="20" customHeight="1">
      <c r="A34" s="3" t="inlineStr">
        <is>
          <t>■ 長期ユーザー インサイト・示唆</t>
        </is>
      </c>
    </row>
    <row r="35" ht="50" customHeight="1">
      <c r="A35" s="44" t="inlineStr">
        <is>
          <t>◆ コアユーザープロファイル</t>
        </is>
      </c>
      <c r="B35" s="8" t="n"/>
      <c r="C35" s="9" t="inlineStr">
        <is>
          <t>女性・50代・oneMonthプラン・東京圏が中心。2020年のサービス初期から継続している「創業期ファン」層。このセグメントへの維持・エンゲージメント施策が最優先。</t>
        </is>
      </c>
      <c r="D35" s="10" t="n"/>
      <c r="E35" s="10" t="n"/>
      <c r="F35" s="10" t="n"/>
      <c r="G35" s="10" t="n"/>
      <c r="H35" s="8" t="n"/>
    </row>
    <row r="36" ht="50" customHeight="1">
      <c r="A36" s="44" t="inlineStr">
        <is>
          <t>◆ 86%が現在も有料継続</t>
        </is>
      </c>
      <c r="B36" s="8" t="n"/>
      <c r="C36" s="9" t="inlineStr">
        <is>
          <t>長期ユーザーの86.2%が現在も有料会員。一度定着すると継続する傾向が強い。初期3〜6ヶ月の離脱防止が鍵（del1データでは47%が1〜3回で離脱）。</t>
        </is>
      </c>
      <c r="D36" s="10" t="n"/>
      <c r="E36" s="10" t="n"/>
      <c r="F36" s="10" t="n"/>
      <c r="G36" s="10" t="n"/>
      <c r="H36" s="8" t="n"/>
    </row>
    <row r="37" ht="50" customHeight="1">
      <c r="A37" s="44" t="inlineStr">
        <is>
          <t>◆ 平均LTV¥82,246 = 理論LTVの4.4倍</t>
        </is>
      </c>
      <c r="B37" s="8" t="n"/>
      <c r="C37" s="9" t="inlineStr">
        <is>
          <t>理論LTV¥18,622はこの層には過小評価。コアユーザーを早期に特定し、離脱防止に注力することで実際のLTVは大幅に向上可能。</t>
        </is>
      </c>
      <c r="D37" s="10" t="n"/>
      <c r="E37" s="10" t="n"/>
      <c r="F37" s="10" t="n"/>
      <c r="G37" s="10" t="n"/>
      <c r="H37" s="8" t="n"/>
    </row>
    <row r="38" ht="50" customHeight="1">
      <c r="A38" s="44" t="inlineStr">
        <is>
          <t>◆ 最大386回配送のユーザーが存在</t>
        </is>
      </c>
      <c r="B38" s="8" t="n"/>
      <c r="C38" s="9" t="inlineStr">
        <is>
          <t>月1回配送なら約32年分に相当（隔週なら16年）。サービス開始（2020年）から継続中の超長期ユーザーが存在する。</t>
        </is>
      </c>
      <c r="D38" s="10" t="n"/>
      <c r="E38" s="10" t="n"/>
      <c r="F38" s="10" t="n"/>
      <c r="G38" s="10" t="n"/>
      <c r="H38" s="8" t="n"/>
    </row>
    <row r="39">
      <c r="E39" s="39" t="inlineStr">
        <is>
          <t>愛知県</t>
        </is>
      </c>
      <c r="F39" s="39" t="n">
        <v>19</v>
      </c>
      <c r="G39" s="39" t="inlineStr">
        <is>
          <t>4.9%</t>
        </is>
      </c>
    </row>
    <row r="40">
      <c r="E40" s="35" t="inlineStr">
        <is>
          <t>兵庫県</t>
        </is>
      </c>
      <c r="F40" s="35" t="n">
        <v>15</v>
      </c>
      <c r="G40" s="35" t="inlineStr">
        <is>
          <t>3.9%</t>
        </is>
      </c>
    </row>
    <row r="41">
      <c r="E41" s="39" t="inlineStr">
        <is>
          <t>大阪府</t>
        </is>
      </c>
      <c r="F41" s="39" t="n">
        <v>14</v>
      </c>
      <c r="G41" s="39" t="inlineStr">
        <is>
          <t>3.6%</t>
        </is>
      </c>
    </row>
    <row r="42">
      <c r="E42" s="35" t="inlineStr">
        <is>
          <t>静岡県</t>
        </is>
      </c>
      <c r="F42" s="35" t="n">
        <v>11</v>
      </c>
      <c r="G42" s="35" t="inlineStr">
        <is>
          <t>2.9%</t>
        </is>
      </c>
    </row>
    <row r="43">
      <c r="E43" s="39" t="inlineStr">
        <is>
          <t>群馬県</t>
        </is>
      </c>
      <c r="F43" s="39" t="n">
        <v>10</v>
      </c>
      <c r="G43" s="39" t="inlineStr">
        <is>
          <t>2.6%</t>
        </is>
      </c>
    </row>
    <row r="44">
      <c r="E44" s="35" t="inlineStr">
        <is>
          <t>茨城県</t>
        </is>
      </c>
      <c r="F44" s="35" t="n">
        <v>10</v>
      </c>
      <c r="G44" s="35" t="inlineStr">
        <is>
          <t>2.6%</t>
        </is>
      </c>
    </row>
  </sheetData>
  <mergeCells count="16">
    <mergeCell ref="A38:B38"/>
    <mergeCell ref="C38:H38"/>
    <mergeCell ref="E33:G33"/>
    <mergeCell ref="C36:H36"/>
    <mergeCell ref="A2:H2"/>
    <mergeCell ref="C37:H37"/>
    <mergeCell ref="A37:B37"/>
    <mergeCell ref="A27:C27"/>
    <mergeCell ref="A36:B36"/>
    <mergeCell ref="C35:H35"/>
    <mergeCell ref="A21:C21"/>
    <mergeCell ref="A1:H1"/>
    <mergeCell ref="A12:C12"/>
    <mergeCell ref="A6:H6"/>
    <mergeCell ref="A35:B35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1" t="inlineStr">
        <is>
          <t>登録経路別 LTV・継続率分析</t>
        </is>
      </c>
    </row>
    <row r="2">
      <c r="A2" s="12" t="inlineStr">
        <is>
          <t>※ 登録データとのID照合が可能なユーザー871名（全体の9.8%）のみ対象。2023-07以降の登録者が主。</t>
        </is>
      </c>
    </row>
    <row r="3" ht="40" customHeight="1">
      <c r="A3" s="4" t="inlineStr">
        <is>
          <t>登録経路</t>
        </is>
      </c>
      <c r="B3" s="4" t="inlineStr">
        <is>
          <t>タイプ</t>
        </is>
      </c>
      <c r="C3" s="4" t="inlineStr">
        <is>
          <t>マッチ
ユーザー数</t>
        </is>
      </c>
      <c r="D3" s="4" t="inlineStr">
        <is>
          <t>平均配送回数</t>
        </is>
      </c>
      <c r="E3" s="4" t="inlineStr">
        <is>
          <t>実測LTV
(¥)</t>
        </is>
      </c>
      <c r="F3" s="4" t="inlineStr">
        <is>
          <t>有料継続率</t>
        </is>
      </c>
      <c r="G3" s="4" t="inlineStr">
        <is>
          <t>LTV対比
(全体平均比)</t>
        </is>
      </c>
    </row>
    <row r="4" ht="18" customHeight="1">
      <c r="A4" s="42" t="inlineStr">
        <is>
          <t>知り合いの紹介</t>
        </is>
      </c>
      <c r="B4" s="42" t="inlineStr">
        <is>
          <t>高品質獲得</t>
        </is>
      </c>
      <c r="C4" s="42" t="n">
        <v>47</v>
      </c>
      <c r="D4" s="42" t="n">
        <v>8.1</v>
      </c>
      <c r="E4" s="45" t="n">
        <v>9196</v>
      </c>
      <c r="F4" s="46" t="n">
        <v>0.213</v>
      </c>
      <c r="G4" s="42" t="inlineStr">
        <is>
          <t>115%</t>
        </is>
      </c>
    </row>
    <row r="5" ht="18" customHeight="1">
      <c r="A5" s="42" t="inlineStr">
        <is>
          <t>テレビ番組・ラジオ番組</t>
        </is>
      </c>
      <c r="B5" s="42" t="inlineStr">
        <is>
          <t>高品質獲得</t>
        </is>
      </c>
      <c r="C5" s="42" t="n">
        <v>45</v>
      </c>
      <c r="D5" s="42" t="n">
        <v>7.8</v>
      </c>
      <c r="E5" s="45" t="n">
        <v>8851</v>
      </c>
      <c r="F5" s="46" t="n">
        <v>0.222</v>
      </c>
      <c r="G5" s="42" t="inlineStr">
        <is>
          <t>111%</t>
        </is>
      </c>
    </row>
    <row r="6" ht="18" customHeight="1">
      <c r="A6" s="42" t="inlineStr">
        <is>
          <t>雑誌・新聞</t>
        </is>
      </c>
      <c r="B6" s="42" t="inlineStr">
        <is>
          <t>高品質獲得</t>
        </is>
      </c>
      <c r="C6" s="42" t="n">
        <v>44</v>
      </c>
      <c r="D6" s="42" t="n">
        <v>7.5</v>
      </c>
      <c r="E6" s="45" t="n">
        <v>8514</v>
      </c>
      <c r="F6" s="46" t="n">
        <v>0.182</v>
      </c>
      <c r="G6" s="42" t="inlineStr">
        <is>
          <t>107%</t>
        </is>
      </c>
    </row>
    <row r="7" ht="18" customHeight="1">
      <c r="A7" s="39" t="inlineStr">
        <is>
          <t>WEB検索</t>
        </is>
      </c>
      <c r="B7" s="39" t="inlineStr">
        <is>
          <t>オーガニック</t>
        </is>
      </c>
      <c r="C7" s="39" t="n">
        <v>105</v>
      </c>
      <c r="D7" s="39" t="n">
        <v>7.3</v>
      </c>
      <c r="E7" s="47" t="n">
        <v>8283</v>
      </c>
      <c r="F7" s="48" t="n">
        <v>0.162</v>
      </c>
      <c r="G7" s="39" t="inlineStr">
        <is>
          <t>104%</t>
        </is>
      </c>
    </row>
    <row r="8" ht="18" customHeight="1">
      <c r="A8" s="42" t="inlineStr">
        <is>
          <t>テレビCM</t>
        </is>
      </c>
      <c r="B8" s="42" t="inlineStr">
        <is>
          <t>高品質獲得</t>
        </is>
      </c>
      <c r="C8" s="42" t="n">
        <v>3</v>
      </c>
      <c r="D8" s="42" t="n">
        <v>7.3</v>
      </c>
      <c r="E8" s="45" t="n">
        <v>8294</v>
      </c>
      <c r="F8" s="46" t="n">
        <v>0.333</v>
      </c>
      <c r="G8" s="42" t="inlineStr">
        <is>
          <t>104%</t>
        </is>
      </c>
    </row>
    <row r="9" ht="18" customHeight="1">
      <c r="A9" s="39" t="inlineStr">
        <is>
          <t>WEB記事・ニュース</t>
        </is>
      </c>
      <c r="B9" s="39" t="inlineStr">
        <is>
          <t>オーガニック</t>
        </is>
      </c>
      <c r="C9" s="39" t="n">
        <v>61</v>
      </c>
      <c r="D9" s="39" t="n">
        <v>7.2</v>
      </c>
      <c r="E9" s="47" t="n">
        <v>8178</v>
      </c>
      <c r="F9" s="48" t="n">
        <v>0.18</v>
      </c>
      <c r="G9" s="39" t="inlineStr">
        <is>
          <t>103%</t>
        </is>
      </c>
    </row>
    <row r="10" ht="18" customHeight="1">
      <c r="A10" s="43" t="inlineStr">
        <is>
          <t>YouTube</t>
        </is>
      </c>
      <c r="B10" s="43" t="inlineStr">
        <is>
          <t>有料広告</t>
        </is>
      </c>
      <c r="C10" s="43" t="n">
        <v>63</v>
      </c>
      <c r="D10" s="43" t="n">
        <v>7.1</v>
      </c>
      <c r="E10" s="49" t="n">
        <v>8072</v>
      </c>
      <c r="F10" s="50" t="n">
        <v>0.206</v>
      </c>
      <c r="G10" s="43" t="inlineStr">
        <is>
          <t>101%</t>
        </is>
      </c>
    </row>
    <row r="11" ht="18" customHeight="1">
      <c r="A11" s="34" t="inlineStr">
        <is>
          <t>なし（不明）</t>
        </is>
      </c>
      <c r="B11" s="34" t="inlineStr">
        <is>
          <t>その他</t>
        </is>
      </c>
      <c r="C11" s="34" t="n">
        <v>124</v>
      </c>
      <c r="D11" s="34" t="n">
        <v>7</v>
      </c>
      <c r="E11" s="51" t="n">
        <v>7965</v>
      </c>
      <c r="F11" s="52" t="n">
        <v>0.161</v>
      </c>
      <c r="G11" s="34" t="inlineStr">
        <is>
          <t>100%</t>
        </is>
      </c>
    </row>
    <row r="12" ht="18" customHeight="1">
      <c r="A12" s="34" t="inlineStr">
        <is>
          <t>その他のキャンペーン</t>
        </is>
      </c>
      <c r="B12" s="34" t="inlineStr">
        <is>
          <t>その他</t>
        </is>
      </c>
      <c r="C12" s="34" t="n">
        <v>48</v>
      </c>
      <c r="D12" s="34" t="n">
        <v>6.9</v>
      </c>
      <c r="E12" s="51" t="n">
        <v>7838</v>
      </c>
      <c r="F12" s="52" t="n">
        <v>0.146</v>
      </c>
      <c r="G12" s="34" t="inlineStr">
        <is>
          <t>98%</t>
        </is>
      </c>
    </row>
    <row r="13" ht="18" customHeight="1">
      <c r="A13" s="43" t="inlineStr">
        <is>
          <t>Instagram</t>
        </is>
      </c>
      <c r="B13" s="43" t="inlineStr">
        <is>
          <t>有料広告</t>
        </is>
      </c>
      <c r="C13" s="43" t="n">
        <v>154</v>
      </c>
      <c r="D13" s="43" t="n">
        <v>6.8</v>
      </c>
      <c r="E13" s="49" t="n">
        <v>7720</v>
      </c>
      <c r="F13" s="50" t="n">
        <v>0.156</v>
      </c>
      <c r="G13" s="43" t="inlineStr">
        <is>
          <t>97%</t>
        </is>
      </c>
    </row>
    <row r="14" ht="18" customHeight="1">
      <c r="A14" s="34" t="inlineStr">
        <is>
          <t>その他</t>
        </is>
      </c>
      <c r="B14" s="34" t="inlineStr">
        <is>
          <t>その他</t>
        </is>
      </c>
      <c r="C14" s="34" t="n">
        <v>79</v>
      </c>
      <c r="D14" s="34" t="n">
        <v>6.7</v>
      </c>
      <c r="E14" s="51" t="n">
        <v>7638</v>
      </c>
      <c r="F14" s="52" t="n">
        <v>0.152</v>
      </c>
      <c r="G14" s="34" t="inlineStr">
        <is>
          <t>96%</t>
        </is>
      </c>
    </row>
    <row r="15" ht="18" customHeight="1">
      <c r="A15" s="22" t="inlineStr">
        <is>
          <t>クーポン</t>
        </is>
      </c>
      <c r="B15" s="22" t="inlineStr">
        <is>
          <t>クーポン</t>
        </is>
      </c>
      <c r="C15" s="22" t="n">
        <v>36</v>
      </c>
      <c r="D15" s="22" t="n">
        <v>6.5</v>
      </c>
      <c r="E15" s="23" t="n">
        <v>7397</v>
      </c>
      <c r="F15" s="24" t="n">
        <v>0.083</v>
      </c>
      <c r="G15" s="22" t="inlineStr">
        <is>
          <t>93%</t>
        </is>
      </c>
    </row>
    <row r="16" ht="18" customHeight="1">
      <c r="A16" s="43" t="inlineStr">
        <is>
          <t>バナーなどのWEB広告</t>
        </is>
      </c>
      <c r="B16" s="43" t="inlineStr">
        <is>
          <t>有料広告</t>
        </is>
      </c>
      <c r="C16" s="43" t="n">
        <v>38</v>
      </c>
      <c r="D16" s="43" t="n">
        <v>6.3</v>
      </c>
      <c r="E16" s="49" t="n">
        <v>7157</v>
      </c>
      <c r="F16" s="50" t="n">
        <v>0.132</v>
      </c>
      <c r="G16" s="43" t="inlineStr">
        <is>
          <t>90%</t>
        </is>
      </c>
    </row>
    <row r="17" ht="18" customHeight="1">
      <c r="A17" s="43" t="inlineStr">
        <is>
          <t>Facebook</t>
        </is>
      </c>
      <c r="B17" s="43" t="inlineStr">
        <is>
          <t>有料広告</t>
        </is>
      </c>
      <c r="C17" s="43" t="n">
        <v>18</v>
      </c>
      <c r="D17" s="43" t="n">
        <v>6.1</v>
      </c>
      <c r="E17" s="49" t="n">
        <v>6930</v>
      </c>
      <c r="F17" s="50" t="n">
        <v>0.111</v>
      </c>
      <c r="G17" s="43" t="inlineStr">
        <is>
          <t>87%</t>
        </is>
      </c>
    </row>
    <row r="18" ht="18" customHeight="1">
      <c r="A18" s="34" t="inlineStr">
        <is>
          <t>Twitter/X</t>
        </is>
      </c>
      <c r="B18" s="34" t="inlineStr">
        <is>
          <t>その他</t>
        </is>
      </c>
      <c r="C18" s="34" t="n">
        <v>5</v>
      </c>
      <c r="D18" s="34" t="n">
        <v>5.8</v>
      </c>
      <c r="E18" s="51" t="n">
        <v>6589</v>
      </c>
      <c r="F18" s="52" t="n">
        <v>0.2</v>
      </c>
      <c r="G18" s="34" t="inlineStr">
        <is>
          <t>83%</t>
        </is>
      </c>
    </row>
    <row r="19" ht="14" customHeight="1"/>
    <row r="20">
      <c r="A20" s="3" t="inlineStr">
        <is>
          <t>■ 色分け凡例 / インサイト</t>
        </is>
      </c>
    </row>
    <row r="21" ht="28" customHeight="1">
      <c r="A21" s="53" t="inlineStr">
        <is>
          <t xml:space="preserve">　</t>
        </is>
      </c>
      <c r="B21" s="36" t="inlineStr">
        <is>
          <t>高品質獲得（知り合いの紹介・テレビ・雑誌）: LTV最高クラス。紹介制度強化が有効。</t>
        </is>
      </c>
    </row>
    <row r="22" ht="28" customHeight="1">
      <c r="A22" s="54" t="inlineStr">
        <is>
          <t xml:space="preserve">　</t>
        </is>
      </c>
      <c r="B22" s="36" t="inlineStr">
        <is>
          <t>オーガニック（WEB検索・WEB記事）: LTV上位。SEO・PR投資に対してROIが高い。</t>
        </is>
      </c>
    </row>
    <row r="23" ht="28" customHeight="1">
      <c r="A23" s="55" t="inlineStr">
        <is>
          <t xml:space="preserve">　</t>
        </is>
      </c>
      <c r="B23" s="36" t="inlineStr">
        <is>
          <t>有料広告（Instagram・Facebook・バナー・YouTube）: LTVが最も低い。ターゲティング精度改善が課題。</t>
        </is>
      </c>
    </row>
    <row r="24" ht="28" customHeight="1">
      <c r="A24" s="56" t="inlineStr">
        <is>
          <t xml:space="preserve">　</t>
        </is>
      </c>
      <c r="B24" s="36" t="inlineStr">
        <is>
          <t>クーポン: 継続率8.3%と最低。価格感度が高いユーザーが多い可能性。</t>
        </is>
      </c>
    </row>
  </sheetData>
  <mergeCells count="7">
    <mergeCell ref="B24:G24"/>
    <mergeCell ref="A1:G1"/>
    <mergeCell ref="B22:G22"/>
    <mergeCell ref="B23:G23"/>
    <mergeCell ref="A20:G20"/>
    <mergeCell ref="A2:G2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 ht="30" customHeight="1">
      <c r="A1" s="11" t="inlineStr">
        <is>
          <t>配送回数別ユーザー継続・離脱分析（2023-07〜2026-02観測ウィンドウ）</t>
        </is>
      </c>
    </row>
    <row r="2">
      <c r="A2" s="12" t="inlineStr">
        <is>
          <t>1回以上配送ユーザー(8,885名)を配送回数でセグメント化。配送回数=観測期間内の実配送数。</t>
        </is>
      </c>
    </row>
    <row r="3" ht="36" customHeight="1">
      <c r="A3" s="4" t="inlineStr">
        <is>
          <t>配送回数帯</t>
        </is>
      </c>
      <c r="B3" s="4" t="inlineStr">
        <is>
          <t>ユーザー数</t>
        </is>
      </c>
      <c r="C3" s="4" t="inlineStr">
        <is>
          <t>構成比</t>
        </is>
      </c>
      <c r="D3" s="4" t="inlineStr">
        <is>
          <t>有料継続率</t>
        </is>
      </c>
      <c r="E3" s="4" t="inlineStr">
        <is>
          <t>退会率 ※1</t>
        </is>
      </c>
      <c r="F3" s="4" t="inlineStr">
        <is>
          <t>女性比率</t>
        </is>
      </c>
      <c r="G3" s="4" t="inlineStr">
        <is>
          <t>最多年代</t>
        </is>
      </c>
      <c r="H3" s="4" t="inlineStr">
        <is>
          <t>実測LTV(¥)</t>
        </is>
      </c>
    </row>
    <row r="4" ht="20" customHeight="1">
      <c r="A4" s="43" t="inlineStr">
        <is>
          <t>1〜3回</t>
        </is>
      </c>
      <c r="B4" s="43" t="n">
        <v>4176</v>
      </c>
      <c r="C4" s="50" t="n">
        <v>0.47</v>
      </c>
      <c r="D4" s="50" t="n">
        <v>0.051</v>
      </c>
      <c r="E4" s="43" t="n"/>
      <c r="F4" s="57" t="n">
        <v>0.608</v>
      </c>
      <c r="G4" s="43" t="inlineStr">
        <is>
          <t>60代</t>
        </is>
      </c>
      <c r="H4" s="49" t="n">
        <v>2272</v>
      </c>
    </row>
    <row r="5" ht="20" customHeight="1">
      <c r="A5" s="43" t="inlineStr">
        <is>
          <t>4〜6回</t>
        </is>
      </c>
      <c r="B5" s="43" t="n">
        <v>1424</v>
      </c>
      <c r="C5" s="50" t="n">
        <v>0.16</v>
      </c>
      <c r="D5" s="50" t="n">
        <v>0.12</v>
      </c>
      <c r="E5" s="43" t="n"/>
      <c r="F5" s="57" t="n">
        <v>0.667</v>
      </c>
      <c r="G5" s="43" t="inlineStr">
        <is>
          <t>60代</t>
        </is>
      </c>
      <c r="H5" s="49" t="n">
        <v>5680</v>
      </c>
    </row>
    <row r="6" ht="20" customHeight="1">
      <c r="A6" s="22" t="inlineStr">
        <is>
          <t>7〜12回</t>
        </is>
      </c>
      <c r="B6" s="22" t="n">
        <v>1480</v>
      </c>
      <c r="C6" s="24" t="n">
        <v>0.167</v>
      </c>
      <c r="D6" s="24" t="n">
        <v>0.252</v>
      </c>
      <c r="E6" s="22" t="n"/>
      <c r="F6" s="58" t="n">
        <v>0.653</v>
      </c>
      <c r="G6" s="22" t="inlineStr">
        <is>
          <t>60代</t>
        </is>
      </c>
      <c r="H6" s="23" t="n">
        <v>9096</v>
      </c>
    </row>
    <row r="7" ht="20" customHeight="1">
      <c r="A7" s="39" t="inlineStr">
        <is>
          <t>13〜24回</t>
        </is>
      </c>
      <c r="B7" s="39" t="n">
        <v>1324</v>
      </c>
      <c r="C7" s="48" t="n">
        <v>0.149</v>
      </c>
      <c r="D7" s="48" t="n">
        <v>0.403</v>
      </c>
      <c r="E7" s="39" t="n"/>
      <c r="F7" s="59" t="n">
        <v>0.648</v>
      </c>
      <c r="G7" s="39" t="inlineStr">
        <is>
          <t>60代</t>
        </is>
      </c>
      <c r="H7" s="47" t="n">
        <v>19312</v>
      </c>
    </row>
    <row r="8" ht="20" customHeight="1">
      <c r="A8" s="42" t="inlineStr">
        <is>
          <t>25〜60回</t>
        </is>
      </c>
      <c r="B8" s="42" t="n">
        <v>477</v>
      </c>
      <c r="C8" s="46" t="n">
        <v>0.05400000000000001</v>
      </c>
      <c r="D8" s="46" t="n">
        <v>0.66</v>
      </c>
      <c r="E8" s="42" t="n"/>
      <c r="F8" s="60" t="n">
        <v>0.637</v>
      </c>
      <c r="G8" s="42" t="inlineStr">
        <is>
          <t>50代</t>
        </is>
      </c>
      <c r="H8" s="45" t="n">
        <v>42640</v>
      </c>
    </row>
    <row r="9" ht="20" customHeight="1">
      <c r="A9" s="42" t="inlineStr">
        <is>
          <t>61回以上</t>
        </is>
      </c>
      <c r="B9" s="42" t="n">
        <v>2</v>
      </c>
      <c r="C9" s="46" t="n">
        <v>0</v>
      </c>
      <c r="D9" s="46" t="n">
        <v>1</v>
      </c>
      <c r="E9" s="42" t="n"/>
      <c r="F9" s="60" t="n">
        <v>0</v>
      </c>
      <c r="G9" s="42" t="inlineStr">
        <is>
          <t>50代</t>
        </is>
      </c>
      <c r="H9" s="45" t="n">
        <v>73840</v>
      </c>
    </row>
    <row r="10" ht="20" customHeight="1">
      <c r="A10" s="61" t="inlineStr">
        <is>
          <t>合計</t>
        </is>
      </c>
      <c r="B10" s="61" t="n">
        <v>8885</v>
      </c>
      <c r="C10" s="62" t="n">
        <v>1</v>
      </c>
      <c r="D10" s="61" t="n">
        <v>0.2085</v>
      </c>
      <c r="E10" s="61" t="n"/>
      <c r="F10" s="61" t="n"/>
      <c r="G10" s="61" t="n"/>
      <c r="H10" s="61" t="n"/>
    </row>
    <row r="11" ht="10" customHeight="1"/>
    <row r="12">
      <c r="A12" s="6" t="inlineStr">
        <is>
          <t>※1: 退会 = status='退会' のユーザー。休会ユーザーは含まない。</t>
        </is>
      </c>
    </row>
    <row r="14">
      <c r="A14" s="3" t="inlineStr">
        <is>
          <t>■ 継続・離脱 インサイト</t>
        </is>
      </c>
    </row>
    <row r="15" ht="36" customHeight="1">
      <c r="A15" s="36" t="inlineStr">
        <is>
          <t>▶ 【47%が1〜3回で消える】全ユーザーの47%（4,176名）が配送1〜3回で休会・退会。ここを改善することが最大のLTV向上施策。</t>
        </is>
      </c>
    </row>
    <row r="16" ht="36" customHeight="1">
      <c r="A16" s="36" t="inlineStr">
        <is>
          <t>▶ 【7回の壁を超えると定着】7〜12回帯(16.7%)は継続率25.2%に上昇。この「定着ゾーン」への誘導が重要。最初の半年間のエンゲージメント施策が効果的と考えられる。</t>
        </is>
      </c>
    </row>
    <row r="17" ht="36" customHeight="1">
      <c r="A17" s="36" t="inlineStr">
        <is>
          <t>▶ 【13〜24回帯は成長期】継続率40.3%まで上昇。年間通じて継続したユーザーは高LTV層に育つ可能性。バースデークーポン・記念配送等のリテンション施策を強化すべき。</t>
        </is>
      </c>
    </row>
    <row r="18" ht="36" customHeight="1">
      <c r="A18" s="36" t="inlineStr">
        <is>
          <t>▶ 【25〜60回帯は66%継続】ほぼ核ユーザー化。この層を長期ユーザー（60回以上）に育てることが最終目標。</t>
        </is>
      </c>
    </row>
  </sheetData>
  <mergeCells count="8">
    <mergeCell ref="A12:H12"/>
    <mergeCell ref="A18:H18"/>
    <mergeCell ref="A15:H15"/>
    <mergeCell ref="A2:H2"/>
    <mergeCell ref="A16:H16"/>
    <mergeCell ref="A14:H14"/>
    <mergeCell ref="A1:H1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30" customWidth="1" min="5" max="5"/>
    <col width="8" customWidth="1" min="6" max="6"/>
  </cols>
  <sheetData>
    <row r="1" ht="30" customHeight="1">
      <c r="A1" s="11" t="inlineStr">
        <is>
          <t>LTV・CAC 計算検証シート</t>
        </is>
      </c>
    </row>
    <row r="2">
      <c r="A2" s="3" t="inlineStr">
        <is>
          <t>■ 前提値（青字は変更可能なインプット）</t>
        </is>
      </c>
    </row>
    <row r="3">
      <c r="A3" s="4" t="inlineStr">
        <is>
          <t>前提項目</t>
        </is>
      </c>
      <c r="B3" s="4" t="inlineStr">
        <is>
          <t>値</t>
        </is>
      </c>
      <c r="C3" s="4" t="inlineStr">
        <is>
          <t>出典</t>
        </is>
      </c>
    </row>
    <row r="4" ht="22" customHeight="1">
      <c r="A4" s="63" t="inlineStr">
        <is>
          <t>月次粗利/配送（¥）</t>
        </is>
      </c>
      <c r="B4" s="64" t="n">
        <v>1136</v>
      </c>
      <c r="C4" s="65" t="inlineStr">
        <is>
          <t>Source: ユーザー提供。2025年1〜12月実績</t>
        </is>
      </c>
    </row>
    <row r="5" ht="22" customHeight="1">
      <c r="A5" s="63" t="inlineStr">
        <is>
          <t>月次チャーン率（%）</t>
        </is>
      </c>
      <c r="B5" s="66" t="n">
        <v>0.061</v>
      </c>
      <c r="C5" s="65" t="inlineStr">
        <is>
          <t>Source: ユーザー提供。2025年1〜12月実績</t>
        </is>
      </c>
    </row>
    <row r="6" ht="22" customHeight="1">
      <c r="A6" s="63" t="inlineStr">
        <is>
          <t>10期広告費合計（¥）</t>
        </is>
      </c>
      <c r="B6" s="64" t="n">
        <v>316137</v>
      </c>
      <c r="C6" s="65" t="inlineStr">
        <is>
          <t>Source: ユーザー提供。2025年7〜12月</t>
        </is>
      </c>
    </row>
    <row r="7" ht="22" customHeight="1">
      <c r="A7" s="63" t="inlineStr">
        <is>
          <t>10期広告経由新規獲得数（名）</t>
        </is>
      </c>
      <c r="B7" s="67" t="n">
        <v>54</v>
      </c>
      <c r="C7" s="65" t="inlineStr">
        <is>
          <t>Source: ユーザー提供。10期シート参照</t>
        </is>
      </c>
    </row>
    <row r="9" ht="14" customHeight="1"/>
    <row r="10">
      <c r="A10" s="3" t="inlineStr">
        <is>
          <t>■ 計算結果</t>
        </is>
      </c>
    </row>
    <row r="11" ht="36" customHeight="1">
      <c r="A11" s="4" t="inlineStr">
        <is>
          <t>指標</t>
        </is>
      </c>
      <c r="B11" s="4" t="inlineStr">
        <is>
          <t>計算式</t>
        </is>
      </c>
      <c r="C11" s="4" t="inlineStr">
        <is>
          <t>結果</t>
        </is>
      </c>
      <c r="D11" s="4" t="inlineStr">
        <is>
          <t>判定基準</t>
        </is>
      </c>
    </row>
    <row r="12" ht="22" customHeight="1">
      <c r="A12" s="68" t="inlineStr">
        <is>
          <t>理論LTV（粗利÷チャーン率）</t>
        </is>
      </c>
      <c r="B12" s="69">
        <f>B4/B5</f>
        <v/>
      </c>
      <c r="C12" s="70">
        <f>B4/B5</f>
        <v/>
      </c>
      <c r="D12" s="71" t="inlineStr">
        <is>
          <t>¥18,622（ユーザー提示値）と一致確認</t>
        </is>
      </c>
    </row>
    <row r="13" ht="22" customHeight="1">
      <c r="A13" s="68" t="inlineStr">
        <is>
          <t>CAC（広告費÷獲得数）</t>
        </is>
      </c>
      <c r="B13" s="69">
        <f>B6/B7</f>
        <v/>
      </c>
      <c r="C13" s="70">
        <f>B6/B7</f>
        <v/>
      </c>
      <c r="D13" s="71" t="inlineStr">
        <is>
          <t>¥5,854（ユーザー提示値）と一致確認</t>
        </is>
      </c>
    </row>
    <row r="14" ht="22" customHeight="1">
      <c r="A14" s="68" t="inlineStr">
        <is>
          <t>LTV/CAC比（理論LTV）</t>
        </is>
      </c>
      <c r="B14" s="69">
        <f>C12/C13</f>
        <v/>
      </c>
      <c r="C14" s="72">
        <f>C12/C13</f>
        <v/>
      </c>
      <c r="D14" s="71" t="inlineStr">
        <is>
          <t>3倍以上が目安（持続可能なグロース）</t>
        </is>
      </c>
    </row>
    <row r="15" ht="22" customHeight="1">
      <c r="A15" s="68" t="inlineStr">
        <is>
          <t>実測LTV（12ヶ月以上コホート平均）</t>
        </is>
      </c>
      <c r="B15" s="69" t="n">
        <v>8712</v>
      </c>
      <c r="C15" s="70" t="n">
        <v>8712</v>
      </c>
      <c r="D15" s="71" t="inlineStr">
        <is>
          <t>参考: 観測ウィンドウ内の実績値</t>
        </is>
      </c>
    </row>
    <row r="16" ht="22" customHeight="1">
      <c r="A16" s="68" t="inlineStr">
        <is>
          <t>LTV/CAC比（実測LTV）</t>
        </is>
      </c>
      <c r="B16" s="69">
        <f>C15/C13</f>
        <v/>
      </c>
      <c r="C16" s="72">
        <f>C15/C13</f>
        <v/>
      </c>
      <c r="D16" s="71" t="inlineStr">
        <is>
          <t>1.5倍。理論LTVとの乖離を要確認</t>
        </is>
      </c>
    </row>
    <row r="18" ht="14" customHeight="1"/>
    <row r="19">
      <c r="A19" s="3" t="inlineStr">
        <is>
          <t>■ 期別CAC試算（推定値）</t>
        </is>
      </c>
    </row>
    <row r="20">
      <c r="A20" s="4" t="inlineStr">
        <is>
          <t>期</t>
        </is>
      </c>
      <c r="B20" s="4" t="inlineStr">
        <is>
          <t>広告費（月額概算）</t>
        </is>
      </c>
      <c r="C20" s="4" t="inlineStr">
        <is>
          <t>月次登録者数</t>
        </is>
      </c>
      <c r="D20" s="4" t="inlineStr">
        <is>
          <t>CAC概算</t>
        </is>
      </c>
      <c r="E20" s="4" t="inlineStr">
        <is>
          <t>備考</t>
        </is>
      </c>
    </row>
    <row r="21" ht="22" customHeight="1">
      <c r="A21" s="73" t="inlineStr">
        <is>
          <t>8期前（広告なし）</t>
        </is>
      </c>
      <c r="B21" s="51" t="n">
        <v>0</v>
      </c>
      <c r="C21" s="34" t="n">
        <v>635</v>
      </c>
      <c r="D21" s="51" t="n">
        <v>0</v>
      </c>
      <c r="E21" s="74" t="inlineStr">
        <is>
          <t>オーガニック。CAC=0</t>
        </is>
      </c>
    </row>
    <row r="22" ht="22" customHeight="1">
      <c r="A22" s="75" t="inlineStr">
        <is>
          <t>8期高予算</t>
        </is>
      </c>
      <c r="B22" s="76" t="n">
        <v>8500000</v>
      </c>
      <c r="C22" s="35" t="n">
        <v>732</v>
      </c>
      <c r="D22" s="76" t="n">
        <v>11612</v>
      </c>
      <c r="E22" s="77" t="inlineStr">
        <is>
          <t>参考値（TV除く推定）</t>
        </is>
      </c>
    </row>
    <row r="23" ht="22" customHeight="1">
      <c r="A23" s="73" t="inlineStr">
        <is>
          <t>8期低予算</t>
        </is>
      </c>
      <c r="B23" s="51" t="n">
        <v>3000000</v>
      </c>
      <c r="C23" s="34" t="n">
        <v>319</v>
      </c>
      <c r="D23" s="51" t="n">
        <v>9404</v>
      </c>
      <c r="E23" s="74" t="inlineStr">
        <is>
          <t>参考値</t>
        </is>
      </c>
    </row>
    <row r="24" ht="22" customHeight="1">
      <c r="A24" s="75" t="inlineStr">
        <is>
          <t>9期広告停止</t>
        </is>
      </c>
      <c r="B24" s="76" t="n">
        <v>0</v>
      </c>
      <c r="C24" s="35" t="n">
        <v>168</v>
      </c>
      <c r="D24" s="76" t="n">
        <v>0</v>
      </c>
      <c r="E24" s="77" t="inlineStr">
        <is>
          <t>オーガニックのみ</t>
        </is>
      </c>
    </row>
    <row r="25" ht="22" customHeight="1">
      <c r="A25" s="73" t="inlineStr">
        <is>
          <t>9期再開50万</t>
        </is>
      </c>
      <c r="B25" s="51" t="n">
        <v>500000</v>
      </c>
      <c r="C25" s="34" t="n">
        <v>97</v>
      </c>
      <c r="D25" s="51" t="n">
        <v>5155</v>
      </c>
      <c r="E25" s="74" t="inlineStr">
        <is>
          <t>参考値</t>
        </is>
      </c>
    </row>
    <row r="26" ht="22" customHeight="1">
      <c r="A26" s="75" t="inlineStr">
        <is>
          <t>10期</t>
        </is>
      </c>
      <c r="B26" s="76" t="n">
        <v>52689</v>
      </c>
      <c r="C26" s="35" t="n">
        <v>43</v>
      </c>
      <c r="D26" s="76" t="n">
        <v>1225</v>
      </c>
      <c r="E26" s="77" t="inlineStr">
        <is>
          <t>参考値</t>
        </is>
      </c>
    </row>
  </sheetData>
  <mergeCells count="4">
    <mergeCell ref="A19:F19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2026-03-05T06:02:33Z</dcterms:created>
  <dcterms:modified xmlns:dcterms="http://purl.org/dc/terms/" xmlns:xsi="http://www.w3.org/2001/XMLSchema-instance" xsi:type="dcterms:W3CDTF">2026-03-05T06:02:33Z</dcterms:modified>
</cp:coreProperties>
</file>